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xr:revisionPtr revIDLastSave="259" documentId="11_396E1F94D8E956806DA553F2870313D70BCCA1E4" xr6:coauthVersionLast="47" xr6:coauthVersionMax="47" xr10:uidLastSave="{02351634-21BB-4642-BA42-4005555B1DDE}"/>
  <bookViews>
    <workbookView xWindow="0" yWindow="0" windowWidth="0" windowHeight="0" firstSheet="8" xr2:uid="{00000000-000D-0000-FFFF-FFFF00000000}"/>
  </bookViews>
  <sheets>
    <sheet name="summary" sheetId="1" r:id="rId1"/>
    <sheet name="profile" sheetId="2" r:id="rId2"/>
    <sheet name="projects" sheetId="3" r:id="rId3"/>
    <sheet name="tasks" sheetId="4" r:id="rId4"/>
    <sheet name="metrics" sheetId="5" r:id="rId5"/>
    <sheet name="plans" sheetId="6" r:id="rId6"/>
    <sheet name="dashboards" sheetId="7" r:id="rId7"/>
    <sheet name="charts" sheetId="8" r:id="rId8"/>
    <sheet name="chart_data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9" l="1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3" i="9"/>
  <c r="E4" i="9"/>
  <c r="E5" i="9"/>
  <c r="E6" i="9"/>
  <c r="E7" i="9"/>
  <c r="E8" i="9"/>
  <c r="E2" i="9"/>
</calcChain>
</file>

<file path=xl/sharedStrings.xml><?xml version="1.0" encoding="utf-8"?>
<sst xmlns="http://schemas.openxmlformats.org/spreadsheetml/2006/main" count="315" uniqueCount="179">
  <si>
    <t>key</t>
  </si>
  <si>
    <t>value</t>
  </si>
  <si>
    <t>period_from</t>
  </si>
  <si>
    <t>period_to</t>
  </si>
  <si>
    <t>total_processes</t>
  </si>
  <si>
    <t>new_processes</t>
  </si>
  <si>
    <t>total_doc_types</t>
  </si>
  <si>
    <t>new_doc_types</t>
  </si>
  <si>
    <t>+1</t>
  </si>
  <si>
    <t>done_business</t>
  </si>
  <si>
    <t>done_tech</t>
  </si>
  <si>
    <t>will_present</t>
  </si>
  <si>
    <t>⬆️ Ключ</t>
  </si>
  <si>
    <t>Значення</t>
  </si>
  <si>
    <t>password</t>
  </si>
  <si>
    <t>ea2024</t>
  </si>
  <si>
    <t>name</t>
  </si>
  <si>
    <t>Саша Ісмайлов</t>
  </si>
  <si>
    <t>role</t>
  </si>
  <si>
    <t>JAVA Chapter</t>
  </si>
  <si>
    <t>team</t>
  </si>
  <si>
    <t>EA + Corezoid</t>
  </si>
  <si>
    <t>avatar</t>
  </si>
  <si>
    <t>avatar.png</t>
  </si>
  <si>
    <t>⬆️ Міняй тільки колонку value</t>
  </si>
  <si>
    <t>id</t>
  </si>
  <si>
    <t>title</t>
  </si>
  <si>
    <t>color</t>
  </si>
  <si>
    <t>completed</t>
  </si>
  <si>
    <t>bugs_critical</t>
  </si>
  <si>
    <t>bugs_major</t>
  </si>
  <si>
    <t>bugs_minor</t>
  </si>
  <si>
    <t>ea</t>
  </si>
  <si>
    <t>Розвиток EA</t>
  </si>
  <si>
    <t>#F59E0B</t>
  </si>
  <si>
    <t>corezoid</t>
  </si>
  <si>
    <t>Corezoid</t>
  </si>
  <si>
    <t>#3B82F6</t>
  </si>
  <si>
    <t>⬆️ id — унікальний код проєкту</t>
  </si>
  <si>
    <t>Назва на слайді</t>
  </si>
  <si>
    <t>HEX-колір</t>
  </si>
  <si>
    <t>Кількість виконаних</t>
  </si>
  <si>
    <t>Баги крит.</t>
  </si>
  <si>
    <t>Баги мажор.</t>
  </si>
  <si>
    <t>Баги мінор.</t>
  </si>
  <si>
    <t>project_id</t>
  </si>
  <si>
    <t>section</t>
  </si>
  <si>
    <t>status</t>
  </si>
  <si>
    <t>progress</t>
  </si>
  <si>
    <t>TECH</t>
  </si>
  <si>
    <t>EA-1029</t>
  </si>
  <si>
    <t>Переїзд на власний влан на test/stage</t>
  </si>
  <si>
    <t>done</t>
  </si>
  <si>
    <t>EA-1047</t>
  </si>
  <si>
    <t>Підготовка до DRP DC4</t>
  </si>
  <si>
    <t>EA-1065</t>
  </si>
  <si>
    <t>Успішне проведення тестування на DC4</t>
  </si>
  <si>
    <t>EA-1043</t>
  </si>
  <si>
    <t>Розбір проблеми з індексацією elastic</t>
  </si>
  <si>
    <t>EA-1066</t>
  </si>
  <si>
    <t>Прибрати stacktrace з помилок у респонсі від апі NUXEO</t>
  </si>
  <si>
    <t>MIGRATION</t>
  </si>
  <si>
    <t>EA-529</t>
  </si>
  <si>
    <t>MIGRATION | NUXEO SERVER 2019 → 2023</t>
  </si>
  <si>
    <t>in-progress</t>
  </si>
  <si>
    <t>EA-1032</t>
  </si>
  <si>
    <t>MIGRATION | Міграція бінарів прод 2023</t>
  </si>
  <si>
    <t>MIGRATION | Підготовка до релізу в PROD</t>
  </si>
  <si>
    <t>TASKS</t>
  </si>
  <si>
    <t>URRO-13007</t>
  </si>
  <si>
    <t>Збагачення потенційного клієнта ідентифікаційними даними</t>
  </si>
  <si>
    <t>URRO-13003</t>
  </si>
  <si>
    <t>Міграція на нові методи з BUS</t>
  </si>
  <si>
    <t>URRO-12839</t>
  </si>
  <si>
    <t>Ретраї по встановленню курсів</t>
  </si>
  <si>
    <t>⬆️ = id з projects</t>
  </si>
  <si>
    <t>Назва секції</t>
  </si>
  <si>
    <t>Ключ задачі</t>
  </si>
  <si>
    <t>Опис задачі</t>
  </si>
  <si>
    <t>done / in-progress / todo</t>
  </si>
  <si>
    <t>0-100</t>
  </si>
  <si>
    <t>label</t>
  </si>
  <si>
    <t>sub</t>
  </si>
  <si>
    <t>BUSINESS</t>
  </si>
  <si>
    <t>Процеси</t>
  </si>
  <si>
    <t>+0</t>
  </si>
  <si>
    <t>Типи документів</t>
  </si>
  <si>
    <t>Підпис метрики</t>
  </si>
  <si>
    <t>Число</t>
  </si>
  <si>
    <t>+N / -N</t>
  </si>
  <si>
    <t>type</t>
  </si>
  <si>
    <t>text</t>
  </si>
  <si>
    <t>business</t>
  </si>
  <si>
    <t>Презентувати наш успішний customer-case з nuxeo на конференції HYLAND</t>
  </si>
  <si>
    <t>tech</t>
  </si>
  <si>
    <t>Видалення папки /Clients та AGREEMENT_DOCUMENTS на stage</t>
  </si>
  <si>
    <t>MIGRATION | Реліз в PROD</t>
  </si>
  <si>
    <t>PROD | Міграція /kofola/v1/accounts/by-filters -&gt; /kofola/v2/accounts/by-filters</t>
  </si>
  <si>
    <t>PROD | Ретраї по втановленню курсів</t>
  </si>
  <si>
    <t>PROD | Збагачення потенційного клієнта ідентифікаційними даними</t>
  </si>
  <si>
    <t>business / tech</t>
  </si>
  <si>
    <t>Текст плану</t>
  </si>
  <si>
    <t>columns</t>
  </si>
  <si>
    <t>analytics</t>
  </si>
  <si>
    <t>Аналітика документів</t>
  </si>
  <si>
    <t>⬆️ id сторінки</t>
  </si>
  <si>
    <t>Заголовок дашборду</t>
  </si>
  <si>
    <t>Кількість колонок (2 або 3)</t>
  </si>
  <si>
    <t>dashboard_id</t>
  </si>
  <si>
    <t>order</t>
  </si>
  <si>
    <t>docs_by_client</t>
  </si>
  <si>
    <t>Кількість документів з типами клієнтів</t>
  </si>
  <si>
    <t>bar</t>
  </si>
  <si>
    <t>#4F7CFF</t>
  </si>
  <si>
    <t>docs_dynamics</t>
  </si>
  <si>
    <t>Динаміка документів за 2026</t>
  </si>
  <si>
    <t>#6C8AFF</t>
  </si>
  <si>
    <t>docs_by_system</t>
  </si>
  <si>
    <t>Кількість документів у розрізі систем</t>
  </si>
  <si>
    <t>files_dynamics</t>
  </si>
  <si>
    <t>Динаміка обсягу файлів за 2026</t>
  </si>
  <si>
    <t>files_by_process</t>
  </si>
  <si>
    <t>Обсяг файлів за 2026 у розрізі процесів</t>
  </si>
  <si>
    <t>deleted_gb</t>
  </si>
  <si>
    <t>Видалено GB по місяцях</t>
  </si>
  <si>
    <t>#EF4444</t>
  </si>
  <si>
    <t>⬆️ = id з dashboards</t>
  </si>
  <si>
    <t>Унікальний id графіка</t>
  </si>
  <si>
    <t>Заголовок</t>
  </si>
  <si>
    <t>bar / line / horizontal_bar</t>
  </si>
  <si>
    <t>Порядок (1,2,3...)</t>
  </si>
  <si>
    <t>chart_id</t>
  </si>
  <si>
    <t>prev_value</t>
  </si>
  <si>
    <t>ФО</t>
  </si>
  <si>
    <t>ЮО</t>
  </si>
  <si>
    <t>СПД</t>
  </si>
  <si>
    <t>Самозайняті</t>
  </si>
  <si>
    <t>Банк</t>
  </si>
  <si>
    <t>Представництва ЮО</t>
  </si>
  <si>
    <t>Держ.установи</t>
  </si>
  <si>
    <t>2026-01</t>
  </si>
  <si>
    <t>2026-02</t>
  </si>
  <si>
    <t>2026-03</t>
  </si>
  <si>
    <t>2026-04</t>
  </si>
  <si>
    <t>2026-05</t>
  </si>
  <si>
    <t>RBS</t>
  </si>
  <si>
    <t>IOS</t>
  </si>
  <si>
    <t>CID_SF</t>
  </si>
  <si>
    <t>ANDROID</t>
  </si>
  <si>
    <t>WB</t>
  </si>
  <si>
    <t>LUI</t>
  </si>
  <si>
    <t>UCP</t>
  </si>
  <si>
    <t>DIGITAL</t>
  </si>
  <si>
    <t>PAYHUB</t>
  </si>
  <si>
    <t>BWM</t>
  </si>
  <si>
    <t>CBF</t>
  </si>
  <si>
    <t>RPA</t>
  </si>
  <si>
    <t>CLIENT_BANK</t>
  </si>
  <si>
    <t>CAMS</t>
  </si>
  <si>
    <t>CNB</t>
  </si>
  <si>
    <t>SHAREPOINT</t>
  </si>
  <si>
    <t>DIIA</t>
  </si>
  <si>
    <t>SIRIUS</t>
  </si>
  <si>
    <t>Відеоверифікація</t>
  </si>
  <si>
    <t>Ідентифікація</t>
  </si>
  <si>
    <t>Відкриття рахунку</t>
  </si>
  <si>
    <t>Кредитна картка</t>
  </si>
  <si>
    <t>Споживчий кредит GP</t>
  </si>
  <si>
    <t>Актуалізація</t>
  </si>
  <si>
    <t>Переідентифікація</t>
  </si>
  <si>
    <t>Зміна послуг в пакеті</t>
  </si>
  <si>
    <t>Express_POS_SF</t>
  </si>
  <si>
    <t>Single_Entry</t>
  </si>
  <si>
    <t>Підтвердження джерел надходження коштів</t>
  </si>
  <si>
    <t>Торговий еквайринг</t>
  </si>
  <si>
    <t>⬆️ = id з charts</t>
  </si>
  <si>
    <t>Підпис (вісь X)</t>
  </si>
  <si>
    <t>Попереднє значення (для дельти)</t>
  </si>
  <si>
    <t>Доп. текст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</si>
</sst>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i/>
      <sz val="10"/>
      <color rgb="FF92400E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3" borderId="1" xfId="0" applyFont="1" applyFill="1" applyBorder="1"/>
    <xf numFmtId="0" fontId="1" fillId="2" borderId="1" xfId="0" applyFont="1" applyFill="1" applyBorder="1"/>
    <xf numFmtId="14" fontId="2" fillId="0" borderId="1" xfId="0" applyNumberFormat="1" applyFont="1" applyBorder="1"/>
    <xf numFmtId="49" fontId="2" fillId="0" borderId="1" xfId="0" applyNumberFormat="1" applyFont="1" applyBorder="1"/>
    <xf numFmtId="17" fontId="2" fillId="0" borderId="1" xfId="0" applyNumberFormat="1" applyFont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B10" sqref="B10"/>
    </sheetView>
  </sheetViews>
  <sheetFormatPr defaultRowHeight="15"/>
  <cols>
    <col min="1" max="1" width="22" customWidth="1"/>
    <col min="2" max="2" width="25" customWidth="1"/>
  </cols>
  <sheetData>
    <row r="1" spans="1:2">
      <c r="A1" s="4" t="s">
        <v>0</v>
      </c>
      <c r="B1" s="4" t="s">
        <v>1</v>
      </c>
    </row>
    <row r="2" spans="1:2">
      <c r="A2" s="2" t="s">
        <v>2</v>
      </c>
      <c r="B2" s="5">
        <v>46090</v>
      </c>
    </row>
    <row r="3" spans="1:2">
      <c r="A3" s="2" t="s">
        <v>3</v>
      </c>
      <c r="B3" s="5">
        <v>46145</v>
      </c>
    </row>
    <row r="4" spans="1:2">
      <c r="A4" s="2" t="s">
        <v>4</v>
      </c>
      <c r="B4" s="2">
        <v>148</v>
      </c>
    </row>
    <row r="5" spans="1:2">
      <c r="A5" s="2" t="s">
        <v>5</v>
      </c>
      <c r="B5" s="2">
        <v>0</v>
      </c>
    </row>
    <row r="6" spans="1:2">
      <c r="A6" s="2" t="s">
        <v>6</v>
      </c>
      <c r="B6" s="2">
        <v>587</v>
      </c>
    </row>
    <row r="7" spans="1:2">
      <c r="A7" s="2" t="s">
        <v>7</v>
      </c>
      <c r="B7" s="6" t="s">
        <v>8</v>
      </c>
    </row>
    <row r="8" spans="1:2">
      <c r="A8" s="2" t="s">
        <v>9</v>
      </c>
      <c r="B8" s="2">
        <v>12</v>
      </c>
    </row>
    <row r="9" spans="1:2">
      <c r="A9" s="2" t="s">
        <v>10</v>
      </c>
      <c r="B9" s="2">
        <v>60</v>
      </c>
    </row>
    <row r="10" spans="1:2">
      <c r="A10" s="2" t="s">
        <v>11</v>
      </c>
      <c r="B10" s="2">
        <v>3</v>
      </c>
    </row>
    <row r="11" spans="1:2">
      <c r="A11" s="3" t="s">
        <v>12</v>
      </c>
      <c r="B11" s="3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5"/>
  <cols>
    <col min="1" max="1" width="18" customWidth="1"/>
    <col min="2" max="2" width="65" customWidth="1"/>
  </cols>
  <sheetData>
    <row r="1" spans="1:2">
      <c r="A1" s="1" t="s">
        <v>0</v>
      </c>
      <c r="B1" s="1" t="s">
        <v>1</v>
      </c>
    </row>
    <row r="2" spans="1:2">
      <c r="A2" s="2" t="s">
        <v>14</v>
      </c>
      <c r="B2" s="2" t="s">
        <v>15</v>
      </c>
    </row>
    <row r="3" spans="1:2">
      <c r="A3" s="2" t="s">
        <v>16</v>
      </c>
      <c r="B3" s="2" t="s">
        <v>17</v>
      </c>
    </row>
    <row r="4" spans="1:2">
      <c r="A4" s="2" t="s">
        <v>18</v>
      </c>
      <c r="B4" s="2" t="s">
        <v>19</v>
      </c>
    </row>
    <row r="5" spans="1:2">
      <c r="A5" s="2" t="s">
        <v>20</v>
      </c>
      <c r="B5" s="2" t="s">
        <v>21</v>
      </c>
    </row>
    <row r="6" spans="1:2">
      <c r="A6" s="2" t="s">
        <v>22</v>
      </c>
      <c r="B6" s="2" t="s">
        <v>23</v>
      </c>
    </row>
    <row r="7" spans="1:2">
      <c r="A7" s="3" t="s">
        <v>24</v>
      </c>
      <c r="B7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4" sqref="D4"/>
    </sheetView>
  </sheetViews>
  <sheetFormatPr defaultRowHeight="15"/>
  <cols>
    <col min="1" max="7" width="20" customWidth="1"/>
  </cols>
  <sheetData>
    <row r="1" spans="1:7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</row>
    <row r="2" spans="1:7">
      <c r="A2" s="2" t="s">
        <v>32</v>
      </c>
      <c r="B2" s="2" t="s">
        <v>33</v>
      </c>
      <c r="C2" s="2" t="s">
        <v>34</v>
      </c>
      <c r="D2" s="2">
        <v>72</v>
      </c>
      <c r="E2" s="2">
        <v>0</v>
      </c>
      <c r="F2" s="2">
        <v>0</v>
      </c>
      <c r="G2" s="2">
        <v>1</v>
      </c>
    </row>
    <row r="3" spans="1:7">
      <c r="A3" s="2" t="s">
        <v>35</v>
      </c>
      <c r="B3" s="2" t="s">
        <v>36</v>
      </c>
      <c r="C3" s="2" t="s">
        <v>37</v>
      </c>
      <c r="D3" s="2">
        <v>10</v>
      </c>
      <c r="E3" s="2">
        <v>0</v>
      </c>
      <c r="F3" s="2">
        <v>0</v>
      </c>
      <c r="G3" s="2">
        <v>0</v>
      </c>
    </row>
    <row r="4" spans="1:7">
      <c r="A4" s="3" t="s">
        <v>38</v>
      </c>
      <c r="B4" s="3" t="s">
        <v>39</v>
      </c>
      <c r="C4" s="3" t="s">
        <v>40</v>
      </c>
      <c r="D4" s="3" t="s">
        <v>41</v>
      </c>
      <c r="E4" s="3" t="s">
        <v>42</v>
      </c>
      <c r="F4" s="3" t="s">
        <v>43</v>
      </c>
      <c r="G4" s="3" t="s">
        <v>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workbookViewId="0">
      <selection activeCell="D10" sqref="D10"/>
    </sheetView>
  </sheetViews>
  <sheetFormatPr defaultRowHeight="15"/>
  <cols>
    <col min="1" max="1" width="15" customWidth="1"/>
    <col min="2" max="3" width="16" customWidth="1"/>
    <col min="4" max="4" width="55" customWidth="1"/>
    <col min="5" max="5" width="16" customWidth="1"/>
    <col min="6" max="6" width="12" customWidth="1"/>
  </cols>
  <sheetData>
    <row r="1" spans="1:6">
      <c r="A1" s="1" t="s">
        <v>45</v>
      </c>
      <c r="B1" s="1" t="s">
        <v>46</v>
      </c>
      <c r="C1" s="1" t="s">
        <v>0</v>
      </c>
      <c r="D1" s="1" t="s">
        <v>16</v>
      </c>
      <c r="E1" s="1" t="s">
        <v>47</v>
      </c>
      <c r="F1" s="1" t="s">
        <v>48</v>
      </c>
    </row>
    <row r="2" spans="1:6">
      <c r="A2" s="2" t="s">
        <v>32</v>
      </c>
      <c r="B2" s="2" t="s">
        <v>49</v>
      </c>
      <c r="C2" s="2" t="s">
        <v>50</v>
      </c>
      <c r="D2" s="2" t="s">
        <v>51</v>
      </c>
      <c r="E2" s="2" t="s">
        <v>52</v>
      </c>
      <c r="F2" s="2">
        <v>100</v>
      </c>
    </row>
    <row r="3" spans="1:6">
      <c r="A3" s="2" t="s">
        <v>32</v>
      </c>
      <c r="B3" s="2" t="s">
        <v>49</v>
      </c>
      <c r="C3" s="2" t="s">
        <v>53</v>
      </c>
      <c r="D3" s="2" t="s">
        <v>54</v>
      </c>
      <c r="E3" s="2" t="s">
        <v>52</v>
      </c>
      <c r="F3" s="2">
        <v>100</v>
      </c>
    </row>
    <row r="4" spans="1:6">
      <c r="A4" s="2" t="s">
        <v>32</v>
      </c>
      <c r="B4" s="2" t="s">
        <v>49</v>
      </c>
      <c r="C4" s="2" t="s">
        <v>55</v>
      </c>
      <c r="D4" s="2" t="s">
        <v>56</v>
      </c>
      <c r="E4" s="2" t="s">
        <v>52</v>
      </c>
      <c r="F4" s="2">
        <v>100</v>
      </c>
    </row>
    <row r="5" spans="1:6">
      <c r="A5" s="2" t="s">
        <v>32</v>
      </c>
      <c r="B5" s="2" t="s">
        <v>49</v>
      </c>
      <c r="C5" s="2" t="s">
        <v>57</v>
      </c>
      <c r="D5" s="2" t="s">
        <v>58</v>
      </c>
      <c r="E5" s="2" t="s">
        <v>52</v>
      </c>
      <c r="F5" s="2">
        <v>100</v>
      </c>
    </row>
    <row r="6" spans="1:6">
      <c r="A6" s="2" t="s">
        <v>32</v>
      </c>
      <c r="B6" s="2" t="s">
        <v>49</v>
      </c>
      <c r="C6" s="2" t="s">
        <v>59</v>
      </c>
      <c r="D6" s="2" t="s">
        <v>60</v>
      </c>
      <c r="E6" s="2" t="s">
        <v>52</v>
      </c>
      <c r="F6" s="2">
        <v>100</v>
      </c>
    </row>
    <row r="7" spans="1:6">
      <c r="A7" s="2" t="s">
        <v>32</v>
      </c>
      <c r="B7" s="2" t="s">
        <v>61</v>
      </c>
      <c r="C7" s="2" t="s">
        <v>62</v>
      </c>
      <c r="D7" s="2" t="s">
        <v>63</v>
      </c>
      <c r="E7" s="2" t="s">
        <v>64</v>
      </c>
      <c r="F7" s="2">
        <v>90</v>
      </c>
    </row>
    <row r="8" spans="1:6">
      <c r="A8" s="2" t="s">
        <v>32</v>
      </c>
      <c r="B8" s="2" t="s">
        <v>61</v>
      </c>
      <c r="C8" s="2" t="s">
        <v>65</v>
      </c>
      <c r="D8" s="2" t="s">
        <v>66</v>
      </c>
      <c r="E8" s="2" t="s">
        <v>52</v>
      </c>
      <c r="F8" s="2">
        <v>100</v>
      </c>
    </row>
    <row r="9" spans="1:6">
      <c r="A9" s="2" t="s">
        <v>32</v>
      </c>
      <c r="B9" s="2" t="s">
        <v>61</v>
      </c>
      <c r="C9" s="2" t="s">
        <v>62</v>
      </c>
      <c r="D9" s="2" t="s">
        <v>67</v>
      </c>
      <c r="E9" s="2" t="s">
        <v>52</v>
      </c>
      <c r="F9" s="2">
        <v>100</v>
      </c>
    </row>
    <row r="10" spans="1:6">
      <c r="A10" s="2" t="s">
        <v>35</v>
      </c>
      <c r="B10" s="2" t="s">
        <v>68</v>
      </c>
      <c r="C10" t="s">
        <v>69</v>
      </c>
      <c r="D10" s="2" t="s">
        <v>70</v>
      </c>
      <c r="E10" s="2" t="s">
        <v>64</v>
      </c>
      <c r="F10" s="2">
        <v>90</v>
      </c>
    </row>
    <row r="11" spans="1:6">
      <c r="A11" s="2" t="s">
        <v>35</v>
      </c>
      <c r="B11" s="2" t="s">
        <v>68</v>
      </c>
      <c r="C11" s="2" t="s">
        <v>71</v>
      </c>
      <c r="D11" s="2" t="s">
        <v>72</v>
      </c>
      <c r="E11" s="2" t="s">
        <v>64</v>
      </c>
      <c r="F11" s="2">
        <v>50</v>
      </c>
    </row>
    <row r="12" spans="1:6">
      <c r="A12" s="2" t="s">
        <v>35</v>
      </c>
      <c r="B12" s="2" t="s">
        <v>68</v>
      </c>
      <c r="C12" s="2" t="s">
        <v>73</v>
      </c>
      <c r="D12" s="2" t="s">
        <v>74</v>
      </c>
      <c r="E12" s="2" t="s">
        <v>64</v>
      </c>
      <c r="F12" s="2">
        <v>90</v>
      </c>
    </row>
    <row r="13" spans="1:6">
      <c r="A13" s="3" t="s">
        <v>75</v>
      </c>
      <c r="B13" s="3" t="s">
        <v>76</v>
      </c>
      <c r="C13" s="3" t="s">
        <v>77</v>
      </c>
      <c r="D13" s="3" t="s">
        <v>78</v>
      </c>
      <c r="E13" s="3" t="s">
        <v>79</v>
      </c>
      <c r="F13" s="3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4" sqref="E4"/>
    </sheetView>
  </sheetViews>
  <sheetFormatPr defaultRowHeight="15"/>
  <cols>
    <col min="1" max="5" width="22" customWidth="1"/>
  </cols>
  <sheetData>
    <row r="1" spans="1:5">
      <c r="A1" s="1" t="s">
        <v>45</v>
      </c>
      <c r="B1" s="1" t="s">
        <v>46</v>
      </c>
      <c r="C1" s="1" t="s">
        <v>81</v>
      </c>
      <c r="D1" s="1" t="s">
        <v>1</v>
      </c>
      <c r="E1" s="1" t="s">
        <v>82</v>
      </c>
    </row>
    <row r="2" spans="1:5">
      <c r="A2" s="2" t="s">
        <v>32</v>
      </c>
      <c r="B2" s="2" t="s">
        <v>83</v>
      </c>
      <c r="C2" s="2" t="s">
        <v>84</v>
      </c>
      <c r="D2" s="2">
        <v>148</v>
      </c>
      <c r="E2" s="2" t="s">
        <v>85</v>
      </c>
    </row>
    <row r="3" spans="1:5">
      <c r="A3" s="2" t="s">
        <v>32</v>
      </c>
      <c r="B3" s="2" t="s">
        <v>83</v>
      </c>
      <c r="C3" s="2" t="s">
        <v>86</v>
      </c>
      <c r="D3" s="2">
        <v>587</v>
      </c>
      <c r="E3" s="6" t="s">
        <v>8</v>
      </c>
    </row>
    <row r="4" spans="1:5">
      <c r="A4" s="3" t="s">
        <v>75</v>
      </c>
      <c r="B4" s="3" t="s">
        <v>76</v>
      </c>
      <c r="C4" s="3" t="s">
        <v>87</v>
      </c>
      <c r="D4" s="3" t="s">
        <v>88</v>
      </c>
      <c r="E4" s="3" t="s">
        <v>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"/>
  <sheetViews>
    <sheetView workbookViewId="0">
      <selection activeCell="C9" sqref="C9"/>
    </sheetView>
  </sheetViews>
  <sheetFormatPr defaultRowHeight="15"/>
  <cols>
    <col min="1" max="1" width="18" customWidth="1"/>
    <col min="2" max="2" width="16" customWidth="1"/>
    <col min="3" max="3" width="55" customWidth="1"/>
  </cols>
  <sheetData>
    <row r="1" spans="1:3">
      <c r="A1" s="1" t="s">
        <v>45</v>
      </c>
      <c r="B1" s="1" t="s">
        <v>90</v>
      </c>
      <c r="C1" s="1" t="s">
        <v>91</v>
      </c>
    </row>
    <row r="2" spans="1:3">
      <c r="A2" s="2" t="s">
        <v>32</v>
      </c>
      <c r="B2" s="2" t="s">
        <v>92</v>
      </c>
      <c r="C2" s="2" t="s">
        <v>93</v>
      </c>
    </row>
    <row r="3" spans="1:3">
      <c r="A3" s="2" t="s">
        <v>32</v>
      </c>
      <c r="B3" s="2" t="s">
        <v>94</v>
      </c>
      <c r="C3" s="2" t="s">
        <v>95</v>
      </c>
    </row>
    <row r="4" spans="1:3">
      <c r="A4" s="2" t="s">
        <v>32</v>
      </c>
      <c r="B4" s="2" t="s">
        <v>94</v>
      </c>
      <c r="C4" s="2" t="s">
        <v>96</v>
      </c>
    </row>
    <row r="5" spans="1:3">
      <c r="A5" s="2" t="s">
        <v>35</v>
      </c>
      <c r="B5" s="2" t="s">
        <v>94</v>
      </c>
      <c r="C5" s="2" t="s">
        <v>97</v>
      </c>
    </row>
    <row r="6" spans="1:3">
      <c r="A6" s="2" t="s">
        <v>35</v>
      </c>
      <c r="B6" s="2" t="s">
        <v>94</v>
      </c>
      <c r="C6" s="2" t="s">
        <v>98</v>
      </c>
    </row>
    <row r="7" spans="1:3">
      <c r="A7" s="2" t="s">
        <v>35</v>
      </c>
      <c r="B7" s="2" t="s">
        <v>94</v>
      </c>
      <c r="C7" s="2" t="s">
        <v>99</v>
      </c>
    </row>
    <row r="8" spans="1:3">
      <c r="A8" s="3" t="s">
        <v>75</v>
      </c>
      <c r="B8" s="3" t="s">
        <v>100</v>
      </c>
      <c r="C8" s="3" t="s">
        <v>101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"/>
  <sheetViews>
    <sheetView workbookViewId="0"/>
  </sheetViews>
  <sheetFormatPr defaultRowHeight="15"/>
  <cols>
    <col min="1" max="1" width="20" customWidth="1"/>
    <col min="2" max="2" width="35" customWidth="1"/>
    <col min="3" max="3" width="25" customWidth="1"/>
  </cols>
  <sheetData>
    <row r="1" spans="1:3">
      <c r="A1" s="1" t="s">
        <v>25</v>
      </c>
      <c r="B1" s="1" t="s">
        <v>26</v>
      </c>
      <c r="C1" s="1" t="s">
        <v>102</v>
      </c>
    </row>
    <row r="2" spans="1:3">
      <c r="A2" s="2" t="s">
        <v>103</v>
      </c>
      <c r="B2" s="2" t="s">
        <v>104</v>
      </c>
      <c r="C2" s="2">
        <v>3</v>
      </c>
    </row>
    <row r="3" spans="1:3">
      <c r="A3" s="3" t="s">
        <v>105</v>
      </c>
      <c r="B3" s="3" t="s">
        <v>106</v>
      </c>
      <c r="C3" s="3" t="s">
        <v>107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8"/>
  <sheetViews>
    <sheetView workbookViewId="0">
      <selection activeCell="B2" sqref="B2"/>
    </sheetView>
  </sheetViews>
  <sheetFormatPr defaultRowHeight="15"/>
  <cols>
    <col min="1" max="2" width="22" customWidth="1"/>
    <col min="3" max="3" width="42" customWidth="1"/>
    <col min="4" max="6" width="22" customWidth="1"/>
  </cols>
  <sheetData>
    <row r="1" spans="1:6">
      <c r="A1" s="1" t="s">
        <v>108</v>
      </c>
      <c r="B1" s="1" t="s">
        <v>25</v>
      </c>
      <c r="C1" s="1" t="s">
        <v>26</v>
      </c>
      <c r="D1" s="1" t="s">
        <v>90</v>
      </c>
      <c r="E1" s="1" t="s">
        <v>27</v>
      </c>
      <c r="F1" s="1" t="s">
        <v>109</v>
      </c>
    </row>
    <row r="2" spans="1:6">
      <c r="A2" s="2" t="s">
        <v>103</v>
      </c>
      <c r="B2" s="2" t="s">
        <v>110</v>
      </c>
      <c r="C2" s="2" t="s">
        <v>111</v>
      </c>
      <c r="D2" s="2" t="s">
        <v>112</v>
      </c>
      <c r="E2" s="2" t="s">
        <v>113</v>
      </c>
      <c r="F2" s="2">
        <v>1</v>
      </c>
    </row>
    <row r="3" spans="1:6">
      <c r="A3" s="2" t="s">
        <v>103</v>
      </c>
      <c r="B3" s="2" t="s">
        <v>114</v>
      </c>
      <c r="C3" s="2" t="s">
        <v>115</v>
      </c>
      <c r="D3" s="2" t="s">
        <v>112</v>
      </c>
      <c r="E3" s="2" t="s">
        <v>116</v>
      </c>
      <c r="F3" s="2">
        <v>2</v>
      </c>
    </row>
    <row r="4" spans="1:6">
      <c r="A4" s="2" t="s">
        <v>103</v>
      </c>
      <c r="B4" s="2" t="s">
        <v>117</v>
      </c>
      <c r="C4" s="2" t="s">
        <v>118</v>
      </c>
      <c r="D4" s="2" t="s">
        <v>112</v>
      </c>
      <c r="E4" s="2" t="s">
        <v>113</v>
      </c>
      <c r="F4" s="2">
        <v>3</v>
      </c>
    </row>
    <row r="5" spans="1:6">
      <c r="A5" s="2" t="s">
        <v>103</v>
      </c>
      <c r="B5" s="2" t="s">
        <v>119</v>
      </c>
      <c r="C5" s="2" t="s">
        <v>120</v>
      </c>
      <c r="D5" s="2" t="s">
        <v>112</v>
      </c>
      <c r="E5" s="2" t="s">
        <v>116</v>
      </c>
      <c r="F5" s="2">
        <v>4</v>
      </c>
    </row>
    <row r="6" spans="1:6">
      <c r="A6" s="2" t="s">
        <v>103</v>
      </c>
      <c r="B6" s="2" t="s">
        <v>121</v>
      </c>
      <c r="C6" s="2" t="s">
        <v>122</v>
      </c>
      <c r="D6" s="2" t="s">
        <v>112</v>
      </c>
      <c r="E6" s="2" t="s">
        <v>113</v>
      </c>
      <c r="F6" s="2">
        <v>5</v>
      </c>
    </row>
    <row r="7" spans="1:6">
      <c r="A7" s="2" t="s">
        <v>103</v>
      </c>
      <c r="B7" s="2" t="s">
        <v>123</v>
      </c>
      <c r="C7" s="2" t="s">
        <v>124</v>
      </c>
      <c r="D7" s="2" t="s">
        <v>112</v>
      </c>
      <c r="E7" s="2" t="s">
        <v>125</v>
      </c>
      <c r="F7" s="2">
        <v>6</v>
      </c>
    </row>
    <row r="8" spans="1:6">
      <c r="A8" s="3" t="s">
        <v>126</v>
      </c>
      <c r="B8" s="3" t="s">
        <v>127</v>
      </c>
      <c r="C8" s="3" t="s">
        <v>128</v>
      </c>
      <c r="D8" s="3" t="s">
        <v>129</v>
      </c>
      <c r="E8" s="3" t="s">
        <v>40</v>
      </c>
      <c r="F8" s="3" t="s">
        <v>130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"/>
  <sheetViews>
    <sheetView workbookViewId="0">
      <selection activeCell="D50" sqref="D50"/>
    </sheetView>
  </sheetViews>
  <sheetFormatPr defaultRowHeight="15"/>
  <cols>
    <col min="1" max="1" width="25" customWidth="1"/>
    <col min="2" max="2" width="30" customWidth="1"/>
    <col min="3" max="3" width="20" customWidth="1"/>
    <col min="4" max="4" width="28" customWidth="1"/>
    <col min="5" max="5" width="25" customWidth="1"/>
  </cols>
  <sheetData>
    <row r="1" spans="1:5">
      <c r="A1" s="4" t="s">
        <v>131</v>
      </c>
      <c r="B1" s="4" t="s">
        <v>81</v>
      </c>
      <c r="C1" s="4" t="s">
        <v>1</v>
      </c>
      <c r="D1" s="4" t="s">
        <v>132</v>
      </c>
      <c r="E1" s="4" t="s">
        <v>82</v>
      </c>
    </row>
    <row r="2" spans="1:5">
      <c r="A2" s="2" t="s">
        <v>110</v>
      </c>
      <c r="B2" s="2" t="s">
        <v>133</v>
      </c>
      <c r="C2">
        <v>130337849</v>
      </c>
      <c r="D2" s="2">
        <v>126827084</v>
      </c>
      <c r="E2" s="2">
        <f>C2-D2</f>
        <v>3510765</v>
      </c>
    </row>
    <row r="3" spans="1:5">
      <c r="A3" s="2" t="s">
        <v>110</v>
      </c>
      <c r="B3" s="2" t="s">
        <v>134</v>
      </c>
      <c r="C3">
        <v>3362927</v>
      </c>
      <c r="D3" s="2">
        <v>3248988</v>
      </c>
      <c r="E3" s="2">
        <f t="shared" ref="E3:E53" si="0">C3-D3</f>
        <v>113939</v>
      </c>
    </row>
    <row r="4" spans="1:5">
      <c r="A4" s="2" t="s">
        <v>110</v>
      </c>
      <c r="B4" s="2" t="s">
        <v>135</v>
      </c>
      <c r="C4">
        <v>2333833</v>
      </c>
      <c r="D4" s="2">
        <v>2260084</v>
      </c>
      <c r="E4" s="2">
        <f t="shared" si="0"/>
        <v>73749</v>
      </c>
    </row>
    <row r="5" spans="1:5">
      <c r="A5" s="2" t="s">
        <v>110</v>
      </c>
      <c r="B5" s="2" t="s">
        <v>136</v>
      </c>
      <c r="C5">
        <v>14238</v>
      </c>
      <c r="D5" s="2">
        <v>14259</v>
      </c>
      <c r="E5" s="2">
        <f t="shared" si="0"/>
        <v>-21</v>
      </c>
    </row>
    <row r="6" spans="1:5">
      <c r="A6" s="2" t="s">
        <v>110</v>
      </c>
      <c r="B6" s="2" t="s">
        <v>137</v>
      </c>
      <c r="C6">
        <v>6471</v>
      </c>
      <c r="D6" s="2">
        <v>6388</v>
      </c>
      <c r="E6" s="2">
        <f t="shared" si="0"/>
        <v>83</v>
      </c>
    </row>
    <row r="7" spans="1:5">
      <c r="A7" s="2" t="s">
        <v>110</v>
      </c>
      <c r="B7" s="2" t="s">
        <v>138</v>
      </c>
      <c r="C7">
        <v>4547</v>
      </c>
      <c r="D7" s="2">
        <v>4369</v>
      </c>
      <c r="E7" s="2">
        <f t="shared" si="0"/>
        <v>178</v>
      </c>
    </row>
    <row r="8" spans="1:5">
      <c r="A8" s="2" t="s">
        <v>110</v>
      </c>
      <c r="B8" s="2" t="s">
        <v>139</v>
      </c>
      <c r="C8">
        <v>37</v>
      </c>
      <c r="D8" s="2">
        <v>37</v>
      </c>
      <c r="E8" s="2">
        <f t="shared" si="0"/>
        <v>0</v>
      </c>
    </row>
    <row r="9" spans="1:5">
      <c r="A9" s="2" t="s">
        <v>114</v>
      </c>
      <c r="B9" s="2" t="s">
        <v>140</v>
      </c>
      <c r="C9">
        <v>1731893</v>
      </c>
      <c r="D9" s="2">
        <v>0</v>
      </c>
      <c r="E9" s="2">
        <f t="shared" si="0"/>
        <v>1731893</v>
      </c>
    </row>
    <row r="10" spans="1:5">
      <c r="A10" s="2" t="s">
        <v>114</v>
      </c>
      <c r="B10" s="2" t="s">
        <v>141</v>
      </c>
      <c r="C10">
        <v>1785359</v>
      </c>
      <c r="D10">
        <v>1731893</v>
      </c>
      <c r="E10" s="2">
        <f t="shared" si="0"/>
        <v>53466</v>
      </c>
    </row>
    <row r="11" spans="1:5">
      <c r="A11" s="2" t="s">
        <v>114</v>
      </c>
      <c r="B11" s="2" t="s">
        <v>142</v>
      </c>
      <c r="C11">
        <v>2531658</v>
      </c>
      <c r="D11">
        <v>1785359</v>
      </c>
      <c r="E11" s="2">
        <f t="shared" si="0"/>
        <v>746299</v>
      </c>
    </row>
    <row r="12" spans="1:5">
      <c r="A12" s="2" t="s">
        <v>114</v>
      </c>
      <c r="B12" s="2" t="s">
        <v>143</v>
      </c>
      <c r="C12">
        <v>2143981</v>
      </c>
      <c r="D12">
        <v>2531658</v>
      </c>
      <c r="E12" s="2">
        <f t="shared" si="0"/>
        <v>-387677</v>
      </c>
    </row>
    <row r="13" spans="1:5">
      <c r="A13" s="2" t="s">
        <v>114</v>
      </c>
      <c r="B13" s="2" t="s">
        <v>144</v>
      </c>
      <c r="C13">
        <v>897399</v>
      </c>
      <c r="D13">
        <v>2143981</v>
      </c>
      <c r="E13" s="2">
        <f t="shared" si="0"/>
        <v>-1246582</v>
      </c>
    </row>
    <row r="14" spans="1:5">
      <c r="A14" s="2" t="s">
        <v>117</v>
      </c>
      <c r="B14" s="2" t="s">
        <v>145</v>
      </c>
      <c r="C14">
        <v>73945958</v>
      </c>
      <c r="D14" s="2">
        <v>73042000</v>
      </c>
      <c r="E14" s="2">
        <f t="shared" si="0"/>
        <v>903958</v>
      </c>
    </row>
    <row r="15" spans="1:5">
      <c r="A15" s="2" t="s">
        <v>117</v>
      </c>
      <c r="B15" s="2" t="s">
        <v>146</v>
      </c>
      <c r="C15">
        <v>23240317</v>
      </c>
      <c r="D15" s="2">
        <v>22187000</v>
      </c>
      <c r="E15" s="2">
        <f t="shared" si="0"/>
        <v>1053317</v>
      </c>
    </row>
    <row r="16" spans="1:5">
      <c r="A16" s="2" t="s">
        <v>117</v>
      </c>
      <c r="B16" s="2" t="s">
        <v>147</v>
      </c>
      <c r="C16">
        <v>15038162</v>
      </c>
      <c r="D16" s="2">
        <v>15021000</v>
      </c>
      <c r="E16" s="2">
        <f t="shared" si="0"/>
        <v>17162</v>
      </c>
    </row>
    <row r="17" spans="1:5">
      <c r="A17" s="2" t="s">
        <v>117</v>
      </c>
      <c r="B17" s="2" t="s">
        <v>148</v>
      </c>
      <c r="C17">
        <v>13788865</v>
      </c>
      <c r="D17" s="2">
        <v>12443000</v>
      </c>
      <c r="E17" s="2">
        <f t="shared" si="0"/>
        <v>1345865</v>
      </c>
    </row>
    <row r="18" spans="1:5">
      <c r="A18" s="2" t="s">
        <v>117</v>
      </c>
      <c r="B18" s="2" t="s">
        <v>149</v>
      </c>
      <c r="C18">
        <v>5685057</v>
      </c>
      <c r="D18" s="2">
        <v>5595000</v>
      </c>
      <c r="E18" s="2">
        <f t="shared" si="0"/>
        <v>90057</v>
      </c>
    </row>
    <row r="19" spans="1:5">
      <c r="A19" s="2" t="s">
        <v>117</v>
      </c>
      <c r="B19" s="2" t="s">
        <v>150</v>
      </c>
      <c r="C19">
        <v>1560589</v>
      </c>
      <c r="D19" s="2">
        <v>1369000</v>
      </c>
      <c r="E19" s="2">
        <f t="shared" si="0"/>
        <v>191589</v>
      </c>
    </row>
    <row r="20" spans="1:5">
      <c r="A20" s="2" t="s">
        <v>117</v>
      </c>
      <c r="B20" s="2" t="s">
        <v>151</v>
      </c>
      <c r="C20">
        <v>1192877</v>
      </c>
      <c r="D20" s="2">
        <v>1191000</v>
      </c>
      <c r="E20" s="2">
        <f t="shared" si="0"/>
        <v>1877</v>
      </c>
    </row>
    <row r="21" spans="1:5">
      <c r="A21" s="2" t="s">
        <v>117</v>
      </c>
      <c r="B21" s="2" t="s">
        <v>152</v>
      </c>
      <c r="C21">
        <v>393048</v>
      </c>
      <c r="D21" s="2">
        <v>370500</v>
      </c>
      <c r="E21" s="2">
        <f t="shared" si="0"/>
        <v>22548</v>
      </c>
    </row>
    <row r="22" spans="1:5">
      <c r="A22" s="2" t="s">
        <v>117</v>
      </c>
      <c r="B22" s="2" t="s">
        <v>153</v>
      </c>
      <c r="C22">
        <v>263857</v>
      </c>
      <c r="D22" s="2">
        <v>243000</v>
      </c>
      <c r="E22" s="2">
        <f t="shared" si="0"/>
        <v>20857</v>
      </c>
    </row>
    <row r="23" spans="1:5">
      <c r="A23" s="2" t="s">
        <v>117</v>
      </c>
      <c r="B23" s="2" t="s">
        <v>154</v>
      </c>
      <c r="C23">
        <v>237804</v>
      </c>
      <c r="D23" s="2">
        <v>238000</v>
      </c>
      <c r="E23" s="2">
        <f t="shared" si="0"/>
        <v>-196</v>
      </c>
    </row>
    <row r="24" spans="1:5">
      <c r="A24" s="2" t="s">
        <v>117</v>
      </c>
      <c r="B24" s="2" t="s">
        <v>155</v>
      </c>
      <c r="C24">
        <v>305211</v>
      </c>
      <c r="D24" s="2">
        <v>214000</v>
      </c>
      <c r="E24" s="2">
        <f t="shared" si="0"/>
        <v>91211</v>
      </c>
    </row>
    <row r="25" spans="1:5">
      <c r="A25" s="2" t="s">
        <v>117</v>
      </c>
      <c r="B25" s="2" t="s">
        <v>156</v>
      </c>
      <c r="C25">
        <v>137041</v>
      </c>
      <c r="D25" s="2">
        <v>128000</v>
      </c>
      <c r="E25" s="2">
        <f t="shared" si="0"/>
        <v>9041</v>
      </c>
    </row>
    <row r="26" spans="1:5">
      <c r="A26" s="2" t="s">
        <v>117</v>
      </c>
      <c r="B26" s="2" t="s">
        <v>157</v>
      </c>
      <c r="C26">
        <v>105742</v>
      </c>
      <c r="D26" s="2">
        <v>81000</v>
      </c>
      <c r="E26" s="2">
        <f t="shared" si="0"/>
        <v>24742</v>
      </c>
    </row>
    <row r="27" spans="1:5">
      <c r="A27" s="2" t="s">
        <v>117</v>
      </c>
      <c r="B27" s="2" t="s">
        <v>158</v>
      </c>
      <c r="C27">
        <v>40114</v>
      </c>
      <c r="D27" s="2">
        <v>36000</v>
      </c>
      <c r="E27" s="2">
        <f t="shared" si="0"/>
        <v>4114</v>
      </c>
    </row>
    <row r="28" spans="1:5">
      <c r="A28" s="2" t="s">
        <v>117</v>
      </c>
      <c r="B28" s="2" t="s">
        <v>159</v>
      </c>
      <c r="C28">
        <v>77660</v>
      </c>
      <c r="D28" s="2">
        <v>13000</v>
      </c>
      <c r="E28" s="2">
        <f t="shared" si="0"/>
        <v>64660</v>
      </c>
    </row>
    <row r="29" spans="1:5">
      <c r="A29" s="2" t="s">
        <v>117</v>
      </c>
      <c r="B29" s="2" t="s">
        <v>160</v>
      </c>
      <c r="C29">
        <v>5947</v>
      </c>
      <c r="D29" s="2">
        <v>5200</v>
      </c>
      <c r="E29" s="2">
        <f t="shared" si="0"/>
        <v>747</v>
      </c>
    </row>
    <row r="30" spans="1:5">
      <c r="A30" s="2" t="s">
        <v>117</v>
      </c>
      <c r="B30" s="2" t="s">
        <v>161</v>
      </c>
      <c r="C30">
        <v>981</v>
      </c>
      <c r="D30" s="2">
        <v>980</v>
      </c>
      <c r="E30" s="2">
        <f t="shared" si="0"/>
        <v>1</v>
      </c>
    </row>
    <row r="31" spans="1:5">
      <c r="A31" s="2" t="s">
        <v>117</v>
      </c>
      <c r="B31" s="2" t="s">
        <v>162</v>
      </c>
      <c r="C31">
        <v>89</v>
      </c>
      <c r="D31" s="2">
        <v>70</v>
      </c>
      <c r="E31" s="2">
        <f t="shared" si="0"/>
        <v>19</v>
      </c>
    </row>
    <row r="32" spans="1:5">
      <c r="A32" s="2" t="s">
        <v>119</v>
      </c>
      <c r="B32" s="2" t="s">
        <v>140</v>
      </c>
      <c r="C32" s="2">
        <v>660</v>
      </c>
      <c r="D32" s="2">
        <v>0</v>
      </c>
      <c r="E32" s="2">
        <f t="shared" si="0"/>
        <v>660</v>
      </c>
    </row>
    <row r="33" spans="1:5">
      <c r="A33" s="2" t="s">
        <v>119</v>
      </c>
      <c r="B33" s="2" t="s">
        <v>141</v>
      </c>
      <c r="C33" s="2">
        <v>761</v>
      </c>
      <c r="D33" s="2">
        <v>660</v>
      </c>
      <c r="E33" s="2">
        <f t="shared" si="0"/>
        <v>101</v>
      </c>
    </row>
    <row r="34" spans="1:5">
      <c r="A34" s="2" t="s">
        <v>119</v>
      </c>
      <c r="B34" s="2" t="s">
        <v>142</v>
      </c>
      <c r="C34" s="2">
        <v>1206</v>
      </c>
      <c r="D34" s="2">
        <v>761</v>
      </c>
      <c r="E34" s="2">
        <f t="shared" si="0"/>
        <v>445</v>
      </c>
    </row>
    <row r="35" spans="1:5">
      <c r="A35" s="2" t="s">
        <v>119</v>
      </c>
      <c r="B35" s="2" t="s">
        <v>143</v>
      </c>
      <c r="C35" s="2">
        <v>1016</v>
      </c>
      <c r="D35" s="2">
        <v>1206</v>
      </c>
      <c r="E35" s="2">
        <f t="shared" si="0"/>
        <v>-190</v>
      </c>
    </row>
    <row r="36" spans="1:5">
      <c r="A36" s="2" t="s">
        <v>119</v>
      </c>
      <c r="B36" s="2" t="s">
        <v>144</v>
      </c>
      <c r="C36" s="2">
        <v>422</v>
      </c>
      <c r="D36" s="2">
        <v>1016</v>
      </c>
      <c r="E36" s="2">
        <f t="shared" si="0"/>
        <v>-594</v>
      </c>
    </row>
    <row r="37" spans="1:5">
      <c r="A37" s="2" t="s">
        <v>121</v>
      </c>
      <c r="B37" s="2" t="s">
        <v>163</v>
      </c>
      <c r="C37">
        <v>1960</v>
      </c>
      <c r="D37" s="2">
        <v>1064</v>
      </c>
      <c r="E37" s="2">
        <f t="shared" si="0"/>
        <v>896</v>
      </c>
    </row>
    <row r="38" spans="1:5">
      <c r="A38" s="2" t="s">
        <v>121</v>
      </c>
      <c r="B38" s="2" t="s">
        <v>164</v>
      </c>
      <c r="C38">
        <v>771</v>
      </c>
      <c r="D38" s="2">
        <v>444</v>
      </c>
      <c r="E38" s="2">
        <f t="shared" si="0"/>
        <v>327</v>
      </c>
    </row>
    <row r="39" spans="1:5">
      <c r="A39" s="2" t="s">
        <v>121</v>
      </c>
      <c r="B39" s="2" t="s">
        <v>165</v>
      </c>
      <c r="C39">
        <v>250</v>
      </c>
      <c r="D39" s="2">
        <v>169</v>
      </c>
      <c r="E39" s="2">
        <f t="shared" si="0"/>
        <v>81</v>
      </c>
    </row>
    <row r="40" spans="1:5">
      <c r="A40" s="2" t="s">
        <v>121</v>
      </c>
      <c r="B40" s="2" t="s">
        <v>166</v>
      </c>
      <c r="C40">
        <v>150</v>
      </c>
      <c r="D40" s="2">
        <v>92</v>
      </c>
      <c r="E40" s="2">
        <f t="shared" si="0"/>
        <v>58</v>
      </c>
    </row>
    <row r="41" spans="1:5">
      <c r="A41" s="2" t="s">
        <v>121</v>
      </c>
      <c r="B41" s="2" t="s">
        <v>167</v>
      </c>
      <c r="C41">
        <v>122</v>
      </c>
      <c r="D41" s="2">
        <v>73</v>
      </c>
      <c r="E41" s="2">
        <f t="shared" si="0"/>
        <v>49</v>
      </c>
    </row>
    <row r="42" spans="1:5">
      <c r="A42" s="2" t="s">
        <v>121</v>
      </c>
      <c r="B42" s="2" t="s">
        <v>168</v>
      </c>
      <c r="C42">
        <v>105</v>
      </c>
      <c r="D42" s="2">
        <v>66</v>
      </c>
      <c r="E42" s="2">
        <f t="shared" si="0"/>
        <v>39</v>
      </c>
    </row>
    <row r="43" spans="1:5">
      <c r="A43" s="2" t="s">
        <v>121</v>
      </c>
      <c r="B43" s="2" t="s">
        <v>169</v>
      </c>
      <c r="C43">
        <v>95</v>
      </c>
      <c r="D43" s="2">
        <v>56</v>
      </c>
      <c r="E43" s="2">
        <f t="shared" si="0"/>
        <v>39</v>
      </c>
    </row>
    <row r="44" spans="1:5">
      <c r="A44" s="2" t="s">
        <v>121</v>
      </c>
      <c r="B44" s="2" t="s">
        <v>170</v>
      </c>
      <c r="C44">
        <v>51</v>
      </c>
      <c r="D44" s="2">
        <v>34</v>
      </c>
      <c r="E44" s="2">
        <f t="shared" si="0"/>
        <v>17</v>
      </c>
    </row>
    <row r="45" spans="1:5">
      <c r="A45" s="2" t="s">
        <v>121</v>
      </c>
      <c r="B45" s="2" t="s">
        <v>171</v>
      </c>
      <c r="C45">
        <v>55</v>
      </c>
      <c r="D45" s="2">
        <v>32</v>
      </c>
      <c r="E45" s="2">
        <f t="shared" si="0"/>
        <v>23</v>
      </c>
    </row>
    <row r="46" spans="1:5">
      <c r="A46" s="2" t="s">
        <v>121</v>
      </c>
      <c r="B46" s="2" t="s">
        <v>172</v>
      </c>
      <c r="C46">
        <v>52</v>
      </c>
      <c r="D46" s="2">
        <v>31</v>
      </c>
      <c r="E46" s="2">
        <f t="shared" si="0"/>
        <v>21</v>
      </c>
    </row>
    <row r="47" spans="1:5">
      <c r="A47" s="2" t="s">
        <v>121</v>
      </c>
      <c r="B47" s="2" t="s">
        <v>173</v>
      </c>
      <c r="C47">
        <v>50</v>
      </c>
      <c r="D47" s="2">
        <v>28</v>
      </c>
      <c r="E47" s="2">
        <f t="shared" si="0"/>
        <v>22</v>
      </c>
    </row>
    <row r="48" spans="1:5">
      <c r="A48" s="2" t="s">
        <v>121</v>
      </c>
      <c r="B48" t="s">
        <v>174</v>
      </c>
      <c r="C48">
        <v>50</v>
      </c>
      <c r="D48" s="2">
        <v>27</v>
      </c>
      <c r="E48" s="2">
        <f t="shared" si="0"/>
        <v>23</v>
      </c>
    </row>
    <row r="49" spans="1:5">
      <c r="A49" s="2" t="s">
        <v>123</v>
      </c>
      <c r="B49" s="7">
        <v>46023</v>
      </c>
      <c r="C49" s="2">
        <v>823</v>
      </c>
      <c r="D49" s="2">
        <v>0</v>
      </c>
      <c r="E49" s="2">
        <f t="shared" si="0"/>
        <v>823</v>
      </c>
    </row>
    <row r="50" spans="1:5">
      <c r="A50" s="2" t="s">
        <v>123</v>
      </c>
      <c r="B50" s="7">
        <v>46054</v>
      </c>
      <c r="C50" s="2">
        <v>557</v>
      </c>
      <c r="D50" s="2">
        <v>823</v>
      </c>
      <c r="E50" s="2">
        <f t="shared" si="0"/>
        <v>-266</v>
      </c>
    </row>
    <row r="51" spans="1:5">
      <c r="A51" s="2" t="s">
        <v>123</v>
      </c>
      <c r="B51" s="7">
        <v>46082</v>
      </c>
      <c r="C51" s="2">
        <v>469</v>
      </c>
      <c r="D51" s="2">
        <v>557</v>
      </c>
      <c r="E51" s="2">
        <f t="shared" si="0"/>
        <v>-88</v>
      </c>
    </row>
    <row r="52" spans="1:5">
      <c r="A52" s="2" t="s">
        <v>123</v>
      </c>
      <c r="B52" s="7">
        <v>46113</v>
      </c>
      <c r="C52" s="2">
        <v>85</v>
      </c>
      <c r="D52" s="2">
        <v>469</v>
      </c>
      <c r="E52" s="2">
        <f t="shared" si="0"/>
        <v>-384</v>
      </c>
    </row>
    <row r="53" spans="1:5">
      <c r="A53" s="2" t="s">
        <v>123</v>
      </c>
      <c r="B53" s="7">
        <v>46143</v>
      </c>
      <c r="C53" s="2">
        <v>363</v>
      </c>
      <c r="D53" s="2">
        <v>85</v>
      </c>
      <c r="E53" s="2">
        <f t="shared" si="0"/>
        <v>278</v>
      </c>
    </row>
    <row r="54" spans="1:5">
      <c r="A54" s="3" t="s">
        <v>175</v>
      </c>
      <c r="B54" s="3" t="s">
        <v>176</v>
      </c>
      <c r="C54" s="3" t="s">
        <v>13</v>
      </c>
      <c r="D54" s="3" t="s">
        <v>177</v>
      </c>
      <c r="E54" s="3" t="s">
        <v>178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Ісмайлов Олександр Леонідович</cp:lastModifiedBy>
  <cp:revision/>
  <dcterms:created xsi:type="dcterms:W3CDTF">2026-05-11T08:13:19Z</dcterms:created>
  <dcterms:modified xsi:type="dcterms:W3CDTF">2026-05-14T10:47:59Z</dcterms:modified>
  <cp:category/>
  <cp:contentStatus/>
</cp:coreProperties>
</file>